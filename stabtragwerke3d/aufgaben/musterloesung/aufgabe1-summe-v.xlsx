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ba/sciebo/lehrveranstaltungen/feb/01-unterlagen/stabtragwerke3d/aufgaben/musterloesung/"/>
    </mc:Choice>
  </mc:AlternateContent>
  <xr:revisionPtr revIDLastSave="0" documentId="13_ncr:1_{5F336608-20A0-3D4C-97B5-81208C6B2A6F}" xr6:coauthVersionLast="47" xr6:coauthVersionMax="47" xr10:uidLastSave="{00000000-0000-0000-0000-000000000000}"/>
  <bookViews>
    <workbookView xWindow="3260" yWindow="2260" windowWidth="28040" windowHeight="17180" xr2:uid="{3760E55B-E60B-364E-98A2-56F2789F8D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C18" i="1"/>
  <c r="C16" i="1"/>
  <c r="D9" i="1"/>
  <c r="D8" i="1"/>
  <c r="D7" i="1"/>
  <c r="D5" i="1"/>
  <c r="D3" i="1"/>
  <c r="D4" i="1"/>
  <c r="C4" i="1"/>
  <c r="H3" i="1"/>
  <c r="H2" i="1"/>
  <c r="D2" i="1" s="1"/>
  <c r="G4" i="1"/>
  <c r="H4" i="1" s="1"/>
</calcChain>
</file>

<file path=xl/sharedStrings.xml><?xml version="1.0" encoding="utf-8"?>
<sst xmlns="http://schemas.openxmlformats.org/spreadsheetml/2006/main" count="23" uniqueCount="20">
  <si>
    <t>IPE 300</t>
  </si>
  <si>
    <t>A</t>
  </si>
  <si>
    <t>QRO 100x4</t>
  </si>
  <si>
    <t>FL 100x10</t>
  </si>
  <si>
    <t>G</t>
  </si>
  <si>
    <t>n</t>
  </si>
  <si>
    <t>l</t>
  </si>
  <si>
    <t>QRO</t>
  </si>
  <si>
    <t>FL</t>
  </si>
  <si>
    <t>Gesamt</t>
  </si>
  <si>
    <t>Fq</t>
  </si>
  <si>
    <t>Fg</t>
  </si>
  <si>
    <t>kN</t>
  </si>
  <si>
    <t>Summe V</t>
  </si>
  <si>
    <t>RFEM</t>
  </si>
  <si>
    <t>Feldmoment</t>
  </si>
  <si>
    <t>Aus N</t>
  </si>
  <si>
    <t>Aus My</t>
  </si>
  <si>
    <t>Summe</t>
  </si>
  <si>
    <t>Handrechnung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</si>
</sst>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2FFA-D72B-654F-9AC1-9856A658150F}">
  <dimension ref="A1:H20"/>
  <sheetViews>
    <sheetView tabSelected="1" workbookViewId="0">
      <selection activeCell="C21" sqref="C21"/>
    </sheetView>
  </sheetViews>
  <sheetFormatPr baseColWidth="10" defaultRowHeight="16" x14ac:dyDescent="0.2"/>
  <cols>
    <col min="4" max="4" width="7" customWidth="1"/>
    <col min="5" max="5" width="7.83203125" customWidth="1"/>
    <col min="7" max="7" width="6.83203125" customWidth="1"/>
    <col min="8" max="8" width="7" customWidth="1"/>
  </cols>
  <sheetData>
    <row r="1" spans="1:8" x14ac:dyDescent="0.2">
      <c r="B1" t="s">
        <v>5</v>
      </c>
      <c r="C1" t="s">
        <v>6</v>
      </c>
      <c r="G1" t="s">
        <v>1</v>
      </c>
      <c r="H1" t="s">
        <v>4</v>
      </c>
    </row>
    <row r="2" spans="1:8" x14ac:dyDescent="0.2">
      <c r="A2" t="s">
        <v>0</v>
      </c>
      <c r="B2">
        <v>4</v>
      </c>
      <c r="C2">
        <v>16</v>
      </c>
      <c r="D2" s="2">
        <f>B2*C2*H2</f>
        <v>2702.9119999999998</v>
      </c>
      <c r="F2" t="s">
        <v>0</v>
      </c>
      <c r="G2">
        <v>53.8</v>
      </c>
      <c r="H2" s="1">
        <f>G2/100^2*7850</f>
        <v>42.232999999999997</v>
      </c>
    </row>
    <row r="3" spans="1:8" x14ac:dyDescent="0.2">
      <c r="A3" t="s">
        <v>7</v>
      </c>
      <c r="B3">
        <v>4</v>
      </c>
      <c r="C3">
        <v>2</v>
      </c>
      <c r="D3" s="2">
        <f t="shared" ref="D3:D4" si="0">B3*C3*H3</f>
        <v>93.885999999999996</v>
      </c>
      <c r="F3" t="s">
        <v>2</v>
      </c>
      <c r="G3">
        <v>14.95</v>
      </c>
      <c r="H3" s="1">
        <f t="shared" ref="H3:H4" si="1">G3/100^2*7850</f>
        <v>11.735749999999999</v>
      </c>
    </row>
    <row r="4" spans="1:8" x14ac:dyDescent="0.2">
      <c r="A4" t="s">
        <v>8</v>
      </c>
      <c r="B4">
        <v>4</v>
      </c>
      <c r="C4">
        <f>2*SQRT(29)+6</f>
        <v>16.770329614269009</v>
      </c>
      <c r="D4" s="2">
        <f t="shared" si="0"/>
        <v>526.58834988804688</v>
      </c>
      <c r="F4" t="s">
        <v>3</v>
      </c>
      <c r="G4">
        <f>10*1</f>
        <v>10</v>
      </c>
      <c r="H4" s="1">
        <f t="shared" si="1"/>
        <v>7.8500000000000005</v>
      </c>
    </row>
    <row r="5" spans="1:8" x14ac:dyDescent="0.2">
      <c r="A5" t="s">
        <v>9</v>
      </c>
      <c r="D5" s="2">
        <f>SUM(D2:D4)</f>
        <v>3323.3863498880464</v>
      </c>
    </row>
    <row r="7" spans="1:8" x14ac:dyDescent="0.2">
      <c r="A7" t="s">
        <v>11</v>
      </c>
      <c r="D7">
        <f>10*D5/1000</f>
        <v>33.23386349888046</v>
      </c>
    </row>
    <row r="8" spans="1:8" x14ac:dyDescent="0.2">
      <c r="A8" t="s">
        <v>10</v>
      </c>
      <c r="D8">
        <f>4*16*10</f>
        <v>640</v>
      </c>
    </row>
    <row r="9" spans="1:8" x14ac:dyDescent="0.2">
      <c r="A9" t="s">
        <v>13</v>
      </c>
      <c r="D9">
        <f>D7+D8</f>
        <v>673.23386349888051</v>
      </c>
      <c r="E9" t="s">
        <v>12</v>
      </c>
    </row>
    <row r="11" spans="1:8" x14ac:dyDescent="0.2">
      <c r="A11" t="s">
        <v>14</v>
      </c>
      <c r="D11">
        <v>673.25</v>
      </c>
      <c r="E11" t="s">
        <v>12</v>
      </c>
    </row>
    <row r="14" spans="1:8" x14ac:dyDescent="0.2">
      <c r="A14" t="s">
        <v>15</v>
      </c>
    </row>
    <row r="16" spans="1:8" x14ac:dyDescent="0.2">
      <c r="A16" t="s">
        <v>14</v>
      </c>
      <c r="B16" t="s">
        <v>16</v>
      </c>
      <c r="C16">
        <f>2*153.72</f>
        <v>307.44</v>
      </c>
    </row>
    <row r="17" spans="1:3" x14ac:dyDescent="0.2">
      <c r="B17" t="s">
        <v>17</v>
      </c>
      <c r="C17">
        <v>30.16</v>
      </c>
    </row>
    <row r="18" spans="1:3" x14ac:dyDescent="0.2">
      <c r="B18" t="s">
        <v>18</v>
      </c>
      <c r="C18">
        <f>SUM(C16:C17)</f>
        <v>337.6</v>
      </c>
    </row>
    <row r="20" spans="1:3" x14ac:dyDescent="0.2">
      <c r="A20" t="s">
        <v>19</v>
      </c>
      <c r="C20">
        <f>(10+(0.5))*16^2/8</f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Baitsch</dc:creator>
  <cp:lastModifiedBy>Matthias Baitsch</cp:lastModifiedBy>
  <dcterms:created xsi:type="dcterms:W3CDTF">2026-05-15T14:05:07Z</dcterms:created>
  <dcterms:modified xsi:type="dcterms:W3CDTF">2026-05-15T14:47:43Z</dcterms:modified>
</cp:coreProperties>
</file>